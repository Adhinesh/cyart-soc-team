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ert Classification" sheetId="1" state="visible" r:id="rId3"/>
    <sheet name="MITRE ATT&amp;CK Reference" sheetId="2" state="visible" r:id="rId4"/>
    <sheet name="TheHive Ticket Templ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<sst xmlns="http://schemas.openxmlformats.org/spreadsheetml/2006/main" count="168" uniqueCount="135">
  <si>
    <t xml:space="preserve">SOC ALERT CLASSIFICATION SYSTEM</t>
  </si>
  <si>
    <t xml:space="preserve">Week 2 — Practical 1 | MITRE ATT&amp;CK Framework Mapping | CVSS-Based Prioritization</t>
  </si>
  <si>
    <t xml:space="preserve">Alert ID</t>
  </si>
  <si>
    <t xml:space="preserve">Alert Type</t>
  </si>
  <si>
    <t xml:space="preserve">Priority</t>
  </si>
  <si>
    <t xml:space="preserve">MITRE Tactic</t>
  </si>
  <si>
    <t xml:space="preserve">MITRE Technique</t>
  </si>
  <si>
    <t xml:space="preserve">Technique ID</t>
  </si>
  <si>
    <t xml:space="preserve">Source IP</t>
  </si>
  <si>
    <t xml:space="preserve">Affected Asset</t>
  </si>
  <si>
    <t xml:space="preserve">CVSS Score</t>
  </si>
  <si>
    <t xml:space="preserve">Status</t>
  </si>
  <si>
    <t xml:space="preserve">Analyst Notes</t>
  </si>
  <si>
    <t xml:space="preserve">SOC-001</t>
  </si>
  <si>
    <t xml:space="preserve">Phishing Email</t>
  </si>
  <si>
    <t xml:space="preserve">High</t>
  </si>
  <si>
    <t xml:space="preserve">Initial Access</t>
  </si>
  <si>
    <t xml:space="preserve">Spear Phishing Link</t>
  </si>
  <si>
    <t xml:space="preserve">T1566.002</t>
  </si>
  <si>
    <t xml:space="preserve">185.220.101.45</t>
  </si>
  <si>
    <t xml:space="preserve">WKSTN-HR-04</t>
  </si>
  <si>
    <t xml:space="preserve">Open</t>
  </si>
  <si>
    <t xml:space="preserve">User clicked malicious link in email claiming to be IT. URL flagged by VirusTotal. Quarantine email, reset credentials.</t>
  </si>
  <si>
    <t xml:space="preserve">SOC-002</t>
  </si>
  <si>
    <t xml:space="preserve">Remote Code Execution</t>
  </si>
  <si>
    <t xml:space="preserve">Critical</t>
  </si>
  <si>
    <t xml:space="preserve">Exploit Public-Facing Application</t>
  </si>
  <si>
    <t xml:space="preserve">T1190</t>
  </si>
  <si>
    <t xml:space="preserve">45.33.32.156</t>
  </si>
  <si>
    <t xml:space="preserve">PROD-WEBSRV-01</t>
  </si>
  <si>
    <t xml:space="preserve">Investigating</t>
  </si>
  <si>
    <t xml:space="preserve">Log4Shell (CVE-2021-44228) exploit detected. CVSS 9.8. Immediate isolation required. Patch to Log4j 2.17.1+.</t>
  </si>
  <si>
    <t xml:space="preserve">SOC-003</t>
  </si>
  <si>
    <t xml:space="preserve">Brute-Force SSH</t>
  </si>
  <si>
    <t xml:space="preserve">Medium</t>
  </si>
  <si>
    <t xml:space="preserve">Credential Access</t>
  </si>
  <si>
    <t xml:space="preserve">Brute Force: Password Spraying</t>
  </si>
  <si>
    <t xml:space="preserve">T1110.003</t>
  </si>
  <si>
    <t xml:space="preserve">192.168.1.100</t>
  </si>
  <si>
    <t xml:space="preserve">LINUX-DEVBOX-02</t>
  </si>
  <si>
    <t xml:space="preserve">750 failed SSH login attempts over 10 mins from internal IP. Possible compromised internal host. Escalate to IR team.</t>
  </si>
  <si>
    <t xml:space="preserve">SOC-004</t>
  </si>
  <si>
    <t xml:space="preserve">Ransomware Encryption</t>
  </si>
  <si>
    <t xml:space="preserve">Impact</t>
  </si>
  <si>
    <t xml:space="preserve">Data Encrypted for Impact</t>
  </si>
  <si>
    <t xml:space="preserve">T1486</t>
  </si>
  <si>
    <t xml:space="preserve">10.0.0.55</t>
  </si>
  <si>
    <t xml:space="preserve">FILE-SERVER-01</t>
  </si>
  <si>
    <t xml:space="preserve">Contained</t>
  </si>
  <si>
    <t xml:space="preserve">crypto_locker.exe detected. File encryption activity on shared drive. Host isolated. Snapshot rollback initiated.</t>
  </si>
  <si>
    <t xml:space="preserve">SOC-005</t>
  </si>
  <si>
    <t xml:space="preserve">Unauthorized Port Scan</t>
  </si>
  <si>
    <t xml:space="preserve">Low</t>
  </si>
  <si>
    <t xml:space="preserve">Discovery</t>
  </si>
  <si>
    <t xml:space="preserve">Network Service Discovery</t>
  </si>
  <si>
    <t xml:space="preserve">T1046</t>
  </si>
  <si>
    <t xml:space="preserve">203.0.113.77</t>
  </si>
  <si>
    <t xml:space="preserve">FIREWALL-EXT</t>
  </si>
  <si>
    <t xml:space="preserve">Closed</t>
  </si>
  <si>
    <t xml:space="preserve">External port scan on ports 22,80,443,3389. No successful connections. Blocked at perimeter. Likely reconnaissance.</t>
  </si>
  <si>
    <t xml:space="preserve">ALERT SUMMARY DASHBOARD</t>
  </si>
  <si>
    <t xml:space="preserve">Total Alerts</t>
  </si>
  <si>
    <t xml:space="preserve">Avg CVSS</t>
  </si>
  <si>
    <t xml:space="preserve">MITRE ATT&amp;CK TECHNIQUE REFERENCE</t>
  </si>
  <si>
    <t xml:space="preserve">Technique Name</t>
  </si>
  <si>
    <t xml:space="preserve">Tactic</t>
  </si>
  <si>
    <t xml:space="preserve">Description / Example</t>
  </si>
  <si>
    <t xml:space="preserve">T1566</t>
  </si>
  <si>
    <t xml:space="preserve">Phishing</t>
  </si>
  <si>
    <t xml:space="preserve">Attacker sends malicious emails to gain entry. Sub-techniques include attachment (T1566.001) and link (T1566.002).</t>
  </si>
  <si>
    <t xml:space="preserve">Targeted phishing with a malicious URL. Common for credential harvesting or drive-by downloads.</t>
  </si>
  <si>
    <t xml:space="preserve">Exploitation of vulnerabilities in internet-facing apps. Log4Shell (CVE-2021-44228) is a prime example.</t>
  </si>
  <si>
    <t xml:space="preserve">Tries common passwords across many accounts to avoid lockouts. Often targets SSH, RDP, or VPNs.</t>
  </si>
  <si>
    <t xml:space="preserve">Ransomware encrypts victim files to extort payment. Severe business impact; requires immediate containment.</t>
  </si>
  <si>
    <t xml:space="preserve">Adversary scans network to identify open ports and services. Usually precedes targeted exploitation.</t>
  </si>
  <si>
    <t xml:space="preserve">T1059</t>
  </si>
  <si>
    <t xml:space="preserve">Command and Scripting Interpreter</t>
  </si>
  <si>
    <t xml:space="preserve">Execution</t>
  </si>
  <si>
    <t xml:space="preserve">Attacker uses shells (cmd, PowerShell, bash) to execute commands. Look for unusual parent processes.</t>
  </si>
  <si>
    <t xml:space="preserve">T1078</t>
  </si>
  <si>
    <t xml:space="preserve">Valid Accounts</t>
  </si>
  <si>
    <t xml:space="preserve">Persistence</t>
  </si>
  <si>
    <t xml:space="preserve">Attacker uses legitimate credentials to maintain access. Difficult to detect without behavioural baselines.</t>
  </si>
  <si>
    <t xml:space="preserve">T1041</t>
  </si>
  <si>
    <t xml:space="preserve">Exfiltration Over C2 Channel</t>
  </si>
  <si>
    <t xml:space="preserve">Exfiltration</t>
  </si>
  <si>
    <t xml:space="preserve">Data exfiltrated via the same C2 channel used for communication. Look for anomalous outbound traffic volumes.</t>
  </si>
  <si>
    <t xml:space="preserve">T1055</t>
  </si>
  <si>
    <t xml:space="preserve">Process Injection</t>
  </si>
  <si>
    <t xml:space="preserve">Defense Evasion</t>
  </si>
  <si>
    <t xml:space="preserve">Malicious code injected into legitimate processes to evade AV/EDR. Targets svchost.exe, explorer.exe, etc.</t>
  </si>
  <si>
    <t xml:space="preserve">THEHIVE INCIDENT TICKET TEMPLATE</t>
  </si>
  <si>
    <t xml:space="preserve">TICKET METADATA</t>
  </si>
  <si>
    <t xml:space="preserve">Ticket ID</t>
  </si>
  <si>
    <t xml:space="preserve">[Auto-generated by TheHive]</t>
  </si>
  <si>
    <t xml:space="preserve">Date/Time Created</t>
  </si>
  <si>
    <t xml:space="preserve">[e.g., 2025-08-18 14:00:00 UTC]</t>
  </si>
  <si>
    <t xml:space="preserve">Severity</t>
  </si>
  <si>
    <t xml:space="preserve">Critical / High / Medium / Low</t>
  </si>
  <si>
    <t xml:space="preserve">Open / Investigating / Contained / Closed</t>
  </si>
  <si>
    <t xml:space="preserve">Assigned To</t>
  </si>
  <si>
    <t xml:space="preserve">[SOC Analyst Name]</t>
  </si>
  <si>
    <t xml:space="preserve">INCIDENT DETAILS</t>
  </si>
  <si>
    <t xml:space="preserve">Title</t>
  </si>
  <si>
    <t xml:space="preserve">[Priority] [Incident Type] on [Affected Asset]  e.g., [Critical] Ransomware Detected on FILE-SERVER-01</t>
  </si>
  <si>
    <t xml:space="preserve">Description</t>
  </si>
  <si>
    <t xml:space="preserve">Brief narrative of the alert: what triggered it, when, and what was observed.</t>
  </si>
  <si>
    <t xml:space="preserve">[Hostname / IP / User Account]</t>
  </si>
  <si>
    <t xml:space="preserve">[Attacker IP or Internal Host]</t>
  </si>
  <si>
    <t xml:space="preserve">MITRE ATT&amp;CK</t>
  </si>
  <si>
    <t xml:space="preserve">[e.g., Initial Access]</t>
  </si>
  <si>
    <t xml:space="preserve">Technique</t>
  </si>
  <si>
    <t xml:space="preserve">[e.g., Spear Phishing Link]</t>
  </si>
  <si>
    <t xml:space="preserve">[e.g., T1566.002]</t>
  </si>
  <si>
    <t xml:space="preserve">INDICATORS OF COMPROMISE (IOCs)</t>
  </si>
  <si>
    <t xml:space="preserve">File Hash (SHA256)</t>
  </si>
  <si>
    <t xml:space="preserve">[e.g., d41d8cd98f00b204e9800998ecf8427e]</t>
  </si>
  <si>
    <t xml:space="preserve">Malicious IP</t>
  </si>
  <si>
    <t xml:space="preserve">[e.g., 185.220.101.45]</t>
  </si>
  <si>
    <t xml:space="preserve">Malicious Domain</t>
  </si>
  <si>
    <t xml:space="preserve">[e.g., evil-phishing-site.com]</t>
  </si>
  <si>
    <t xml:space="preserve">RESPONSE ACTIONS</t>
  </si>
  <si>
    <t xml:space="preserve">Containment</t>
  </si>
  <si>
    <t xml:space="preserve">[e.g., Isolated endpoint from network at 14:05 UTC]</t>
  </si>
  <si>
    <t xml:space="preserve">Eradication</t>
  </si>
  <si>
    <t xml:space="preserve">[e.g., Removed malware file, cleared persistence keys]</t>
  </si>
  <si>
    <t xml:space="preserve">Recovery</t>
  </si>
  <si>
    <t xml:space="preserve">[e.g., Restored from clean backup snapshot]</t>
  </si>
  <si>
    <t xml:space="preserve">ESCALATION</t>
  </si>
  <si>
    <t xml:space="preserve">Escalated To</t>
  </si>
  <si>
    <t xml:space="preserve">[Tier 2 / IR Lead / Management]</t>
  </si>
  <si>
    <t xml:space="preserve">Escalation Time</t>
  </si>
  <si>
    <t xml:space="preserve">[Timestamp]</t>
  </si>
  <si>
    <t xml:space="preserve">Notes</t>
  </si>
  <si>
    <t xml:space="preserve">[Any additional context for escalation]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</si>
</sst>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BDC3C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980B9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E44AD"/>
      <name val="Arial"/>
      <family val="0"/>
      <charset val="1"/>
    </font>
    <font>
      <sz val="10"/>
      <color rgb="FFC0392B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4"/>
      <color rgb="FFE67E22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b val="true"/>
      <sz val="14"/>
      <color rgb="FF27AE60"/>
      <name val="Arial"/>
      <family val="0"/>
      <charset val="1"/>
    </font>
    <font>
      <b val="true"/>
      <sz val="14"/>
      <color rgb="FFE74C3C"/>
      <name val="Arial"/>
      <family val="0"/>
      <charset val="1"/>
    </font>
    <font>
      <b val="true"/>
      <sz val="14"/>
      <color rgb="FF3498DB"/>
      <name val="Arial"/>
      <family val="0"/>
      <charset val="1"/>
    </font>
    <font>
      <b val="true"/>
      <sz val="14"/>
      <color rgb="FF8E44AD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i val="true"/>
      <sz val="10"/>
      <color rgb="FF1A1A2E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2D3D"/>
        <bgColor rgb="FF1A1A2E"/>
      </patternFill>
    </fill>
    <fill>
      <patternFill patternType="solid">
        <fgColor rgb="FF2C3E50"/>
        <bgColor rgb="FF1F2D3D"/>
      </patternFill>
    </fill>
    <fill>
      <patternFill patternType="solid">
        <fgColor rgb="FF2980B9"/>
        <bgColor rgb="FF3498DB"/>
      </patternFill>
    </fill>
    <fill>
      <patternFill patternType="solid">
        <fgColor rgb="FFFFFFFF"/>
        <bgColor rgb="FFF8F9FA"/>
      </patternFill>
    </fill>
    <fill>
      <patternFill patternType="solid">
        <fgColor rgb="FFE67E22"/>
        <bgColor rgb="FFF39C12"/>
      </patternFill>
    </fill>
    <fill>
      <patternFill patternType="solid">
        <fgColor rgb="FFE74C3C"/>
        <bgColor rgb="FFC0392B"/>
      </patternFill>
    </fill>
    <fill>
      <patternFill patternType="solid">
        <fgColor rgb="FFF4F6F9"/>
        <bgColor rgb="FFF8F9FA"/>
      </patternFill>
    </fill>
    <fill>
      <patternFill patternType="solid">
        <fgColor rgb="FFC0392B"/>
        <bgColor rgb="FFE74C3C"/>
      </patternFill>
    </fill>
    <fill>
      <patternFill patternType="solid">
        <fgColor rgb="FFF39C12"/>
        <bgColor rgb="FFE67E22"/>
      </patternFill>
    </fill>
    <fill>
      <patternFill patternType="solid">
        <fgColor rgb="FFF1C40F"/>
        <bgColor rgb="FFF39C12"/>
      </patternFill>
    </fill>
    <fill>
      <patternFill patternType="solid">
        <fgColor rgb="FF3498DB"/>
        <bgColor rgb="FF2980B9"/>
      </patternFill>
    </fill>
    <fill>
      <patternFill patternType="solid">
        <fgColor rgb="FF27AE60"/>
        <bgColor rgb="FF008080"/>
      </patternFill>
    </fill>
    <fill>
      <patternFill patternType="solid">
        <fgColor rgb="FF8E44AD"/>
        <bgColor rgb="FF993366"/>
      </patternFill>
    </fill>
    <fill>
      <patternFill patternType="solid">
        <fgColor rgb="FFF8F9FA"/>
        <bgColor rgb="FFF4F6F9"/>
      </patternFill>
    </fill>
    <fill>
      <patternFill patternType="solid">
        <fgColor rgb="FFEBF5FB"/>
        <bgColor rgb="FFF4F6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DC3C7"/>
      <rgbColor rgb="FF808080"/>
      <rgbColor rgb="FF9999FF"/>
      <rgbColor rgb="FF8E44AD"/>
      <rgbColor rgb="FFF8F9FA"/>
      <rgbColor rgb="FFEBF5FB"/>
      <rgbColor rgb="FF660066"/>
      <rgbColor rgb="FFE74C3C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1C40F"/>
      <rgbColor rgb="FFF39C12"/>
      <rgbColor rgb="FFE67E22"/>
      <rgbColor rgb="FF666699"/>
      <rgbColor rgb="FF969696"/>
      <rgbColor rgb="FF003366"/>
      <rgbColor rgb="FF27AE60"/>
      <rgbColor rgb="FF003300"/>
      <rgbColor rgb="FF1A1A2E"/>
      <rgbColor rgb="FFC0392B"/>
      <rgbColor rgb="FF993366"/>
      <rgbColor rgb="FF2C3E50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22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38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customFormat="false" ht="51.75" hidden="false" customHeight="true" outlineLevel="0" collapsed="false">
      <c r="A4" s="5" t="s">
        <v>13</v>
      </c>
      <c r="B4" s="6" t="s">
        <v>14</v>
      </c>
      <c r="C4" s="7" t="s">
        <v>15</v>
      </c>
      <c r="D4" s="6" t="s">
        <v>16</v>
      </c>
      <c r="E4" s="6" t="s">
        <v>17</v>
      </c>
      <c r="F4" s="8" t="s">
        <v>18</v>
      </c>
      <c r="G4" s="9" t="s">
        <v>19</v>
      </c>
      <c r="H4" s="6" t="s">
        <v>20</v>
      </c>
      <c r="I4" s="7" t="n">
        <v>7.4</v>
      </c>
      <c r="J4" s="10" t="s">
        <v>21</v>
      </c>
      <c r="K4" s="11" t="s">
        <v>22</v>
      </c>
    </row>
    <row r="5" customFormat="false" ht="51.75" hidden="false" customHeight="true" outlineLevel="0" collapsed="false">
      <c r="A5" s="12" t="s">
        <v>23</v>
      </c>
      <c r="B5" s="13" t="s">
        <v>24</v>
      </c>
      <c r="C5" s="14" t="s">
        <v>25</v>
      </c>
      <c r="D5" s="13" t="s">
        <v>16</v>
      </c>
      <c r="E5" s="13" t="s">
        <v>26</v>
      </c>
      <c r="F5" s="15" t="s">
        <v>27</v>
      </c>
      <c r="G5" s="16" t="s">
        <v>28</v>
      </c>
      <c r="H5" s="13" t="s">
        <v>29</v>
      </c>
      <c r="I5" s="14" t="n">
        <v>9.8</v>
      </c>
      <c r="J5" s="7" t="s">
        <v>30</v>
      </c>
      <c r="K5" s="17" t="s">
        <v>31</v>
      </c>
    </row>
    <row r="6" customFormat="false" ht="51.75" hidden="false" customHeight="true" outlineLevel="0" collapsed="false">
      <c r="A6" s="5" t="s">
        <v>32</v>
      </c>
      <c r="B6" s="6" t="s">
        <v>33</v>
      </c>
      <c r="C6" s="18" t="s">
        <v>34</v>
      </c>
      <c r="D6" s="6" t="s">
        <v>35</v>
      </c>
      <c r="E6" s="6" t="s">
        <v>36</v>
      </c>
      <c r="F6" s="8" t="s">
        <v>37</v>
      </c>
      <c r="G6" s="9" t="s">
        <v>38</v>
      </c>
      <c r="H6" s="6" t="s">
        <v>39</v>
      </c>
      <c r="I6" s="19" t="n">
        <v>5.3</v>
      </c>
      <c r="J6" s="10" t="s">
        <v>21</v>
      </c>
      <c r="K6" s="11" t="s">
        <v>40</v>
      </c>
    </row>
    <row r="7" customFormat="false" ht="51.75" hidden="false" customHeight="true" outlineLevel="0" collapsed="false">
      <c r="A7" s="12" t="s">
        <v>41</v>
      </c>
      <c r="B7" s="13" t="s">
        <v>42</v>
      </c>
      <c r="C7" s="14" t="s">
        <v>25</v>
      </c>
      <c r="D7" s="13" t="s">
        <v>43</v>
      </c>
      <c r="E7" s="13" t="s">
        <v>44</v>
      </c>
      <c r="F7" s="15" t="s">
        <v>45</v>
      </c>
      <c r="G7" s="16" t="s">
        <v>46</v>
      </c>
      <c r="H7" s="13" t="s">
        <v>47</v>
      </c>
      <c r="I7" s="14" t="n">
        <v>9</v>
      </c>
      <c r="J7" s="20" t="s">
        <v>48</v>
      </c>
      <c r="K7" s="17" t="s">
        <v>49</v>
      </c>
    </row>
    <row r="8" customFormat="false" ht="51.75" hidden="false" customHeight="true" outlineLevel="0" collapsed="false">
      <c r="A8" s="5" t="s">
        <v>50</v>
      </c>
      <c r="B8" s="6" t="s">
        <v>51</v>
      </c>
      <c r="C8" s="21" t="s">
        <v>52</v>
      </c>
      <c r="D8" s="6" t="s">
        <v>53</v>
      </c>
      <c r="E8" s="6" t="s">
        <v>54</v>
      </c>
      <c r="F8" s="8" t="s">
        <v>55</v>
      </c>
      <c r="G8" s="9" t="s">
        <v>56</v>
      </c>
      <c r="H8" s="6" t="s">
        <v>57</v>
      </c>
      <c r="I8" s="21" t="n">
        <v>2.1</v>
      </c>
      <c r="J8" s="21" t="s">
        <v>58</v>
      </c>
      <c r="K8" s="11" t="s">
        <v>59</v>
      </c>
    </row>
    <row r="9" customFormat="false" ht="15.75" hidden="false" customHeight="true" outlineLevel="0" collapsed="false"/>
    <row r="10" customFormat="false" ht="24" hidden="false" customHeight="true" outlineLevel="0" collapsed="false">
      <c r="A10" s="22" t="s">
        <v>60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 customFormat="false" ht="19.5" hidden="false" customHeight="true" outlineLevel="0" collapsed="false">
      <c r="A11" s="23" t="s">
        <v>61</v>
      </c>
      <c r="B11" s="24" t="s">
        <v>25</v>
      </c>
      <c r="C11" s="25" t="s">
        <v>15</v>
      </c>
      <c r="D11" s="26" t="s">
        <v>34</v>
      </c>
      <c r="E11" s="27" t="s">
        <v>52</v>
      </c>
      <c r="F11" s="28" t="s">
        <v>21</v>
      </c>
      <c r="G11" s="25" t="s">
        <v>30</v>
      </c>
      <c r="H11" s="29" t="s">
        <v>48</v>
      </c>
      <c r="I11" s="27" t="s">
        <v>58</v>
      </c>
      <c r="J11" s="30" t="s">
        <v>62</v>
      </c>
    </row>
    <row r="12" customFormat="false" ht="25.5" hidden="false" customHeight="true" outlineLevel="0" collapsed="false">
      <c r="A12" s="31" t="n">
        <f aca="false">COUNTA(A4:A8)</f>
        <v>5</v>
      </c>
      <c r="B12" s="32" t="n">
        <f aca="false">COUNTIF(C4:C8,"Critical")</f>
        <v>2</v>
      </c>
      <c r="C12" s="33" t="n">
        <f aca="false">COUNTIF(C4:C8,"High")</f>
        <v>1</v>
      </c>
      <c r="D12" s="34" t="n">
        <f aca="false">COUNTIF(C4:C8,"Medium")</f>
        <v>1</v>
      </c>
      <c r="E12" s="35" t="n">
        <f aca="false">COUNTIF(C4:C8,"Low")</f>
        <v>1</v>
      </c>
      <c r="F12" s="36" t="n">
        <f aca="false">COUNTIF(J4:J8,"Open")</f>
        <v>2</v>
      </c>
      <c r="G12" s="33" t="n">
        <f aca="false">COUNTIF(J4:J8,"Investigating")</f>
        <v>1</v>
      </c>
      <c r="H12" s="37" t="n">
        <f aca="false">COUNTIF(J4:J8,"Contained")</f>
        <v>1</v>
      </c>
      <c r="I12" s="35" t="n">
        <f aca="false">COUNTIF(J4:J8,"Closed")</f>
        <v>1</v>
      </c>
      <c r="J12" s="38" t="n">
        <f aca="false">ROUND(AVERAGE(I4:I8),1)</f>
        <v>6.7</v>
      </c>
    </row>
  </sheetData>
  <mergeCells count="3">
    <mergeCell ref="A1:K1"/>
    <mergeCell ref="A2:K2"/>
    <mergeCell ref="A10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50"/>
  </cols>
  <sheetData>
    <row r="1" customFormat="false" ht="27.75" hidden="false" customHeight="true" outlineLevel="0" collapsed="false">
      <c r="A1" s="39" t="s">
        <v>63</v>
      </c>
      <c r="B1" s="39"/>
      <c r="C1" s="39"/>
      <c r="D1" s="39"/>
    </row>
    <row r="2" customFormat="false" ht="24" hidden="false" customHeight="true" outlineLevel="0" collapsed="false">
      <c r="A2" s="40" t="s">
        <v>7</v>
      </c>
      <c r="B2" s="40" t="s">
        <v>64</v>
      </c>
      <c r="C2" s="40" t="s">
        <v>65</v>
      </c>
      <c r="D2" s="40" t="s">
        <v>66</v>
      </c>
    </row>
    <row r="3" customFormat="false" ht="42" hidden="false" customHeight="true" outlineLevel="0" collapsed="false">
      <c r="A3" s="15" t="s">
        <v>67</v>
      </c>
      <c r="B3" s="13" t="s">
        <v>68</v>
      </c>
      <c r="C3" s="41" t="s">
        <v>16</v>
      </c>
      <c r="D3" s="13" t="s">
        <v>69</v>
      </c>
    </row>
    <row r="4" customFormat="false" ht="42" hidden="false" customHeight="true" outlineLevel="0" collapsed="false">
      <c r="A4" s="8" t="s">
        <v>18</v>
      </c>
      <c r="B4" s="6" t="s">
        <v>17</v>
      </c>
      <c r="C4" s="42" t="s">
        <v>16</v>
      </c>
      <c r="D4" s="6" t="s">
        <v>70</v>
      </c>
    </row>
    <row r="5" customFormat="false" ht="42" hidden="false" customHeight="true" outlineLevel="0" collapsed="false">
      <c r="A5" s="15" t="s">
        <v>27</v>
      </c>
      <c r="B5" s="13" t="s">
        <v>26</v>
      </c>
      <c r="C5" s="41" t="s">
        <v>16</v>
      </c>
      <c r="D5" s="13" t="s">
        <v>71</v>
      </c>
    </row>
    <row r="6" customFormat="false" ht="42" hidden="false" customHeight="true" outlineLevel="0" collapsed="false">
      <c r="A6" s="8" t="s">
        <v>37</v>
      </c>
      <c r="B6" s="6" t="s">
        <v>36</v>
      </c>
      <c r="C6" s="42" t="s">
        <v>35</v>
      </c>
      <c r="D6" s="6" t="s">
        <v>72</v>
      </c>
    </row>
    <row r="7" customFormat="false" ht="42" hidden="false" customHeight="true" outlineLevel="0" collapsed="false">
      <c r="A7" s="15" t="s">
        <v>45</v>
      </c>
      <c r="B7" s="13" t="s">
        <v>44</v>
      </c>
      <c r="C7" s="41" t="s">
        <v>43</v>
      </c>
      <c r="D7" s="13" t="s">
        <v>73</v>
      </c>
    </row>
    <row r="8" customFormat="false" ht="42" hidden="false" customHeight="true" outlineLevel="0" collapsed="false">
      <c r="A8" s="8" t="s">
        <v>55</v>
      </c>
      <c r="B8" s="6" t="s">
        <v>54</v>
      </c>
      <c r="C8" s="42" t="s">
        <v>53</v>
      </c>
      <c r="D8" s="6" t="s">
        <v>74</v>
      </c>
    </row>
    <row r="9" customFormat="false" ht="42" hidden="false" customHeight="true" outlineLevel="0" collapsed="false">
      <c r="A9" s="15" t="s">
        <v>75</v>
      </c>
      <c r="B9" s="13" t="s">
        <v>76</v>
      </c>
      <c r="C9" s="41" t="s">
        <v>77</v>
      </c>
      <c r="D9" s="13" t="s">
        <v>78</v>
      </c>
    </row>
    <row r="10" customFormat="false" ht="42" hidden="false" customHeight="true" outlineLevel="0" collapsed="false">
      <c r="A10" s="8" t="s">
        <v>79</v>
      </c>
      <c r="B10" s="6" t="s">
        <v>80</v>
      </c>
      <c r="C10" s="42" t="s">
        <v>81</v>
      </c>
      <c r="D10" s="6" t="s">
        <v>82</v>
      </c>
    </row>
    <row r="11" customFormat="false" ht="42" hidden="false" customHeight="true" outlineLevel="0" collapsed="false">
      <c r="A11" s="15" t="s">
        <v>83</v>
      </c>
      <c r="B11" s="13" t="s">
        <v>84</v>
      </c>
      <c r="C11" s="41" t="s">
        <v>85</v>
      </c>
      <c r="D11" s="13" t="s">
        <v>86</v>
      </c>
    </row>
    <row r="12" customFormat="false" ht="42" hidden="false" customHeight="true" outlineLevel="0" collapsed="false">
      <c r="A12" s="8" t="s">
        <v>87</v>
      </c>
      <c r="B12" s="6" t="s">
        <v>88</v>
      </c>
      <c r="C12" s="42" t="s">
        <v>89</v>
      </c>
      <c r="D12" s="6" t="s">
        <v>90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0"/>
  </cols>
  <sheetData>
    <row r="1" customFormat="false" ht="27.75" hidden="false" customHeight="true" outlineLevel="0" collapsed="false">
      <c r="A1" s="39" t="s">
        <v>91</v>
      </c>
      <c r="B1" s="39"/>
    </row>
    <row r="2" customFormat="false" ht="19.5" hidden="false" customHeight="true" outlineLevel="0" collapsed="false">
      <c r="A2" s="43" t="s">
        <v>92</v>
      </c>
      <c r="B2" s="43"/>
    </row>
    <row r="3" customFormat="false" ht="27.75" hidden="false" customHeight="true" outlineLevel="0" collapsed="false">
      <c r="A3" s="44" t="s">
        <v>93</v>
      </c>
      <c r="B3" s="45" t="s">
        <v>94</v>
      </c>
    </row>
    <row r="4" customFormat="false" ht="27.75" hidden="false" customHeight="true" outlineLevel="0" collapsed="false">
      <c r="A4" s="44" t="s">
        <v>95</v>
      </c>
      <c r="B4" s="45" t="s">
        <v>96</v>
      </c>
    </row>
    <row r="5" customFormat="false" ht="27.75" hidden="false" customHeight="true" outlineLevel="0" collapsed="false">
      <c r="A5" s="44" t="s">
        <v>97</v>
      </c>
      <c r="B5" s="45" t="s">
        <v>98</v>
      </c>
    </row>
    <row r="6" customFormat="false" ht="27.75" hidden="false" customHeight="true" outlineLevel="0" collapsed="false">
      <c r="A6" s="44" t="s">
        <v>11</v>
      </c>
      <c r="B6" s="45" t="s">
        <v>99</v>
      </c>
    </row>
    <row r="7" customFormat="false" ht="27.75" hidden="false" customHeight="true" outlineLevel="0" collapsed="false">
      <c r="A7" s="44" t="s">
        <v>100</v>
      </c>
      <c r="B7" s="45" t="s">
        <v>101</v>
      </c>
    </row>
    <row r="8" customFormat="false" ht="27.75" hidden="false" customHeight="true" outlineLevel="0" collapsed="false">
      <c r="A8" s="44"/>
      <c r="B8" s="6"/>
    </row>
    <row r="9" customFormat="false" ht="19.5" hidden="false" customHeight="true" outlineLevel="0" collapsed="false">
      <c r="A9" s="43" t="s">
        <v>102</v>
      </c>
      <c r="B9" s="43"/>
    </row>
    <row r="10" customFormat="false" ht="27.75" hidden="false" customHeight="true" outlineLevel="0" collapsed="false">
      <c r="A10" s="44" t="s">
        <v>103</v>
      </c>
      <c r="B10" s="45" t="s">
        <v>104</v>
      </c>
    </row>
    <row r="11" customFormat="false" ht="27.75" hidden="false" customHeight="true" outlineLevel="0" collapsed="false">
      <c r="A11" s="44" t="s">
        <v>105</v>
      </c>
      <c r="B11" s="45" t="s">
        <v>106</v>
      </c>
    </row>
    <row r="12" customFormat="false" ht="27.75" hidden="false" customHeight="true" outlineLevel="0" collapsed="false">
      <c r="A12" s="44" t="s">
        <v>9</v>
      </c>
      <c r="B12" s="45" t="s">
        <v>107</v>
      </c>
    </row>
    <row r="13" customFormat="false" ht="27.75" hidden="false" customHeight="true" outlineLevel="0" collapsed="false">
      <c r="A13" s="44" t="s">
        <v>8</v>
      </c>
      <c r="B13" s="45" t="s">
        <v>108</v>
      </c>
    </row>
    <row r="14" customFormat="false" ht="27.75" hidden="false" customHeight="true" outlineLevel="0" collapsed="false">
      <c r="A14" s="44"/>
      <c r="B14" s="6"/>
    </row>
    <row r="15" customFormat="false" ht="19.5" hidden="false" customHeight="true" outlineLevel="0" collapsed="false">
      <c r="A15" s="43" t="s">
        <v>109</v>
      </c>
      <c r="B15" s="43"/>
    </row>
    <row r="16" customFormat="false" ht="27.75" hidden="false" customHeight="true" outlineLevel="0" collapsed="false">
      <c r="A16" s="44" t="s">
        <v>65</v>
      </c>
      <c r="B16" s="45" t="s">
        <v>110</v>
      </c>
    </row>
    <row r="17" customFormat="false" ht="27.75" hidden="false" customHeight="true" outlineLevel="0" collapsed="false">
      <c r="A17" s="44" t="s">
        <v>111</v>
      </c>
      <c r="B17" s="45" t="s">
        <v>112</v>
      </c>
    </row>
    <row r="18" customFormat="false" ht="27.75" hidden="false" customHeight="true" outlineLevel="0" collapsed="false">
      <c r="A18" s="44" t="s">
        <v>7</v>
      </c>
      <c r="B18" s="45" t="s">
        <v>113</v>
      </c>
    </row>
    <row r="19" customFormat="false" ht="27.75" hidden="false" customHeight="true" outlineLevel="0" collapsed="false">
      <c r="A19" s="44"/>
      <c r="B19" s="6"/>
    </row>
    <row r="20" customFormat="false" ht="19.5" hidden="false" customHeight="true" outlineLevel="0" collapsed="false">
      <c r="A20" s="43" t="s">
        <v>114</v>
      </c>
      <c r="B20" s="43"/>
    </row>
    <row r="21" customFormat="false" ht="27.75" hidden="false" customHeight="true" outlineLevel="0" collapsed="false">
      <c r="A21" s="44" t="s">
        <v>115</v>
      </c>
      <c r="B21" s="45" t="s">
        <v>116</v>
      </c>
    </row>
    <row r="22" customFormat="false" ht="27.75" hidden="false" customHeight="true" outlineLevel="0" collapsed="false">
      <c r="A22" s="44" t="s">
        <v>117</v>
      </c>
      <c r="B22" s="45" t="s">
        <v>118</v>
      </c>
    </row>
    <row r="23" customFormat="false" ht="27.75" hidden="false" customHeight="true" outlineLevel="0" collapsed="false">
      <c r="A23" s="44" t="s">
        <v>119</v>
      </c>
      <c r="B23" s="45" t="s">
        <v>120</v>
      </c>
    </row>
    <row r="24" customFormat="false" ht="27.75" hidden="false" customHeight="true" outlineLevel="0" collapsed="false">
      <c r="A24" s="44"/>
      <c r="B24" s="6"/>
    </row>
    <row r="25" customFormat="false" ht="27.75" hidden="false" customHeight="true" outlineLevel="0" collapsed="false">
      <c r="A25" s="44" t="s">
        <v>121</v>
      </c>
      <c r="B25" s="6"/>
    </row>
    <row r="26" customFormat="false" ht="27.75" hidden="false" customHeight="true" outlineLevel="0" collapsed="false">
      <c r="A26" s="44" t="s">
        <v>122</v>
      </c>
      <c r="B26" s="45" t="s">
        <v>123</v>
      </c>
    </row>
    <row r="27" customFormat="false" ht="27.75" hidden="false" customHeight="true" outlineLevel="0" collapsed="false">
      <c r="A27" s="44" t="s">
        <v>124</v>
      </c>
      <c r="B27" s="45" t="s">
        <v>125</v>
      </c>
    </row>
    <row r="28" customFormat="false" ht="27.75" hidden="false" customHeight="true" outlineLevel="0" collapsed="false">
      <c r="A28" s="44" t="s">
        <v>126</v>
      </c>
      <c r="B28" s="45" t="s">
        <v>127</v>
      </c>
    </row>
    <row r="29" customFormat="false" ht="27.75" hidden="false" customHeight="true" outlineLevel="0" collapsed="false">
      <c r="A29" s="44"/>
      <c r="B29" s="6"/>
    </row>
    <row r="30" customFormat="false" ht="27.75" hidden="false" customHeight="true" outlineLevel="0" collapsed="false">
      <c r="A30" s="44" t="s">
        <v>128</v>
      </c>
      <c r="B30" s="6"/>
    </row>
    <row r="31" customFormat="false" ht="27.75" hidden="false" customHeight="true" outlineLevel="0" collapsed="false">
      <c r="A31" s="44" t="s">
        <v>129</v>
      </c>
      <c r="B31" s="45" t="s">
        <v>130</v>
      </c>
    </row>
    <row r="32" customFormat="false" ht="27.75" hidden="false" customHeight="true" outlineLevel="0" collapsed="false">
      <c r="A32" s="44" t="s">
        <v>131</v>
      </c>
      <c r="B32" s="45" t="s">
        <v>132</v>
      </c>
    </row>
    <row r="33" customFormat="false" ht="27.75" hidden="false" customHeight="true" outlineLevel="0" collapsed="false">
      <c r="A33" s="44" t="s">
        <v>133</v>
      </c>
      <c r="B33" s="45" t="s">
        <v>134</v>
      </c>
    </row>
  </sheetData>
  <mergeCells count="5">
    <mergeCell ref="A1:B1"/>
    <mergeCell ref="A2:B2"/>
    <mergeCell ref="A9:B9"/>
    <mergeCell ref="A15:B15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2026-04-07T20:21:40Z</dcterms:created>
  <dc:creator>openpyxl</dc:creator>
  <dc:description/>
  <dc:language>en-US</dc:language>
  <cp:lastModifiedBy/>
  <dcterms:modified xsi:type="dcterms:W3CDTF">2026-04-07T20:22:20Z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